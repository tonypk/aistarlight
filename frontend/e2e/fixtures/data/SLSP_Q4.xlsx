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.Precious\Downloads\"/>
    </mc:Choice>
  </mc:AlternateContent>
  <bookViews>
    <workbookView xWindow="28680" yWindow="0" windowWidth="29040" windowHeight="15720"/>
  </bookViews>
  <sheets>
    <sheet name="Sheet1" sheetId="1" r:id="rId1"/>
  </sheets>
  <definedNames>
    <definedName name="_xlnm._FilterDatabase" localSheetId="0" hidden="1">Sheet1!$A$14:$N$22</definedName>
    <definedName name="_xlnm.Print_Area" localSheetId="0">Sheet1!$A$1:$N$29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" i="1" l="1"/>
  <c r="L25" i="1"/>
  <c r="N20" i="1"/>
  <c r="N21" i="1"/>
  <c r="N17" i="1"/>
  <c r="N15" i="1"/>
  <c r="K25" i="1"/>
  <c r="J25" i="1"/>
  <c r="I25" i="1"/>
  <c r="G25" i="1"/>
  <c r="H25" i="1"/>
  <c r="F25" i="1"/>
  <c r="N25" i="1" l="1"/>
</calcChain>
</file>

<file path=xl/sharedStrings.xml><?xml version="1.0" encoding="utf-8"?>
<sst xmlns="http://schemas.openxmlformats.org/spreadsheetml/2006/main" count="76" uniqueCount="55">
  <si>
    <t>PURCHASE TRANSACTION</t>
  </si>
  <si>
    <t>RECONCILIATION OF LISTING FOR ENFORCEMENT</t>
  </si>
  <si>
    <t>TAXABLE</t>
  </si>
  <si>
    <t>MONTH</t>
  </si>
  <si>
    <t>(1)</t>
  </si>
  <si>
    <t>TAXPAYER</t>
  </si>
  <si>
    <t>IDENTIFICATION</t>
  </si>
  <si>
    <t>NUMBER</t>
  </si>
  <si>
    <t>(2)</t>
  </si>
  <si>
    <t>REGISTERED NAME</t>
  </si>
  <si>
    <t>(3)</t>
  </si>
  <si>
    <t>NAME OF SUPPLIER</t>
  </si>
  <si>
    <t>(Last Name, First Name, Middle Name)</t>
  </si>
  <si>
    <t>(4)</t>
  </si>
  <si>
    <t>SUPPLIER'S ADDRESS</t>
  </si>
  <si>
    <t>(5)</t>
  </si>
  <si>
    <t>AMOUNT OF</t>
  </si>
  <si>
    <t>GROSS PURCHASE</t>
  </si>
  <si>
    <t>(6)</t>
  </si>
  <si>
    <t>EXEMPT PURCHASE</t>
  </si>
  <si>
    <t>(7)</t>
  </si>
  <si>
    <t>ZERO-RATED PURCHASE</t>
  </si>
  <si>
    <t>(8)</t>
  </si>
  <si>
    <t>TAXABLE PURCHASE</t>
  </si>
  <si>
    <t>(9)</t>
  </si>
  <si>
    <t>PURCHASE OF SERVICES</t>
  </si>
  <si>
    <t>(10)</t>
  </si>
  <si>
    <t>PURCHASE OF CAPITAL GOODS</t>
  </si>
  <si>
    <t>(11)</t>
  </si>
  <si>
    <t>PURCHASE OF GOODS OTHER THAN CAPITAL GOODS</t>
  </si>
  <si>
    <t>(12)</t>
  </si>
  <si>
    <t>INPUT TAX</t>
  </si>
  <si>
    <t>(13)</t>
  </si>
  <si>
    <t>GROSS TAXABLE PURCHASE</t>
  </si>
  <si>
    <t>(14)</t>
  </si>
  <si>
    <t>103-314-245</t>
  </si>
  <si>
    <t>000-721-308</t>
  </si>
  <si>
    <t xml:space="preserve">                                                                                           </t>
  </si>
  <si>
    <t>453-462-150</t>
  </si>
  <si>
    <t>Grand Total :</t>
  </si>
  <si>
    <t>END OF REPORT</t>
  </si>
  <si>
    <t>PETRON</t>
  </si>
  <si>
    <t>272-178-424</t>
  </si>
  <si>
    <t>OZAMIZ CITY</t>
  </si>
  <si>
    <t>LIM DALMACIO</t>
  </si>
  <si>
    <t>000-000-002</t>
  </si>
  <si>
    <t>VARIOUS SUPPLIER</t>
  </si>
  <si>
    <t>MISAMIS ELECTRIC COOPERATIVE</t>
  </si>
  <si>
    <t>11/31/2024</t>
  </si>
  <si>
    <t>OZAMIZ</t>
  </si>
  <si>
    <t>JAXXON TRADING</t>
  </si>
  <si>
    <t xml:space="preserve">OWNER'S NAME: </t>
  </si>
  <si>
    <t xml:space="preserve">TIN : </t>
  </si>
  <si>
    <t xml:space="preserve">OWNER'S TRADE NAME : </t>
  </si>
  <si>
    <t xml:space="preserve">OWNER'S ADDRESS: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</si>
</sst>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##,###,##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quotePrefix="1" applyFont="1"/>
    <xf numFmtId="0" fontId="1" fillId="0" borderId="0" xfId="0" quotePrefix="1" applyFont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4" fontId="2" fillId="0" borderId="0" xfId="0" applyNumberFormat="1" applyFont="1" applyAlignment="1">
      <alignment horizontal="right"/>
    </xf>
    <xf numFmtId="2" fontId="4" fillId="0" borderId="0" xfId="1" applyNumberFormat="1" applyFont="1"/>
    <xf numFmtId="43" fontId="0" fillId="0" borderId="0" xfId="1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tabSelected="1" workbookViewId="0">
      <selection activeCell="H30" sqref="H30"/>
    </sheetView>
  </sheetViews>
  <sheetFormatPr defaultRowHeight="15" x14ac:dyDescent="0.25"/>
  <cols>
    <col min="1" max="1" width="10.7109375" style="1" customWidth="1"/>
    <col min="2" max="2" width="13.42578125" style="1" customWidth="1"/>
    <col min="3" max="3" width="26.5703125" style="1" customWidth="1"/>
    <col min="4" max="4" width="26.7109375" style="1" customWidth="1"/>
    <col min="5" max="5" width="27" style="1" customWidth="1"/>
    <col min="6" max="6" width="14.5703125" style="1" customWidth="1"/>
    <col min="7" max="7" width="15.5703125" style="1" customWidth="1"/>
    <col min="8" max="8" width="18.5703125" style="1" customWidth="1"/>
    <col min="9" max="9" width="18.42578125" customWidth="1"/>
    <col min="10" max="10" width="21.42578125" customWidth="1"/>
    <col min="11" max="12" width="25.7109375" customWidth="1"/>
    <col min="13" max="13" width="14.5703125" customWidth="1"/>
    <col min="14" max="14" width="24.5703125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</row>
    <row r="3" spans="1:14" x14ac:dyDescent="0.25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</row>
    <row r="4" spans="1:14" x14ac:dyDescent="0.25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</row>
    <row r="5" spans="1:14" x14ac:dyDescent="0.2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</row>
    <row r="6" spans="1:14" x14ac:dyDescent="0.25">
      <c r="A6" s="2" t="s">
        <v>52</v>
      </c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</row>
    <row r="7" spans="1:14" x14ac:dyDescent="0.25">
      <c r="A7" s="2" t="s">
        <v>51</v>
      </c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</row>
    <row r="8" spans="1:14" x14ac:dyDescent="0.25">
      <c r="A8" s="2" t="s">
        <v>53</v>
      </c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</row>
    <row r="9" spans="1:14" x14ac:dyDescent="0.25">
      <c r="A9" s="2" t="s">
        <v>54</v>
      </c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</row>
    <row r="11" spans="1:14" x14ac:dyDescent="0.25">
      <c r="A11" s="2" t="s">
        <v>2</v>
      </c>
      <c r="B11" s="2" t="s">
        <v>5</v>
      </c>
      <c r="C11" s="2" t="s">
        <v>9</v>
      </c>
      <c r="D11" s="2" t="s">
        <v>11</v>
      </c>
      <c r="E11" s="2" t="s">
        <v>14</v>
      </c>
      <c r="F11" s="2" t="s">
        <v>16</v>
      </c>
      <c r="G11" s="2" t="s">
        <v>16</v>
      </c>
      <c r="H11" s="2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</row>
    <row r="12" spans="1:14" x14ac:dyDescent="0.25">
      <c r="A12" s="2" t="s">
        <v>3</v>
      </c>
      <c r="B12" s="2" t="s">
        <v>6</v>
      </c>
      <c r="C12" s="2"/>
      <c r="D12" s="2" t="s">
        <v>12</v>
      </c>
      <c r="E12" s="2"/>
      <c r="F12" s="2" t="s">
        <v>17</v>
      </c>
      <c r="G12" s="2" t="s">
        <v>19</v>
      </c>
      <c r="H12" s="2" t="s">
        <v>21</v>
      </c>
      <c r="I12" s="3" t="s">
        <v>23</v>
      </c>
      <c r="J12" s="3" t="s">
        <v>25</v>
      </c>
      <c r="K12" s="3" t="s">
        <v>27</v>
      </c>
      <c r="L12" s="3" t="s">
        <v>29</v>
      </c>
      <c r="M12" s="3" t="s">
        <v>31</v>
      </c>
      <c r="N12" s="3" t="s">
        <v>33</v>
      </c>
    </row>
    <row r="13" spans="1:14" x14ac:dyDescent="0.25">
      <c r="A13" s="2"/>
      <c r="B13" s="2" t="s">
        <v>7</v>
      </c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</row>
    <row r="14" spans="1:14" x14ac:dyDescent="0.25">
      <c r="A14" s="4" t="s">
        <v>4</v>
      </c>
      <c r="B14" s="4" t="s">
        <v>8</v>
      </c>
      <c r="C14" s="4" t="s">
        <v>10</v>
      </c>
      <c r="D14" s="4" t="s">
        <v>13</v>
      </c>
      <c r="E14" s="4" t="s">
        <v>15</v>
      </c>
      <c r="F14" s="4" t="s">
        <v>18</v>
      </c>
      <c r="G14" s="4" t="s">
        <v>20</v>
      </c>
      <c r="H14" s="4" t="s">
        <v>22</v>
      </c>
      <c r="I14" s="5" t="s">
        <v>24</v>
      </c>
      <c r="J14" s="5" t="s">
        <v>26</v>
      </c>
      <c r="K14" s="5" t="s">
        <v>28</v>
      </c>
      <c r="L14" s="5" t="s">
        <v>30</v>
      </c>
      <c r="M14" s="5" t="s">
        <v>32</v>
      </c>
      <c r="N14" s="5" t="s">
        <v>34</v>
      </c>
    </row>
    <row r="15" spans="1:14" x14ac:dyDescent="0.25">
      <c r="A15" s="9">
        <v>45596</v>
      </c>
      <c r="B15" s="1" t="s">
        <v>35</v>
      </c>
      <c r="D15" s="1" t="s">
        <v>44</v>
      </c>
      <c r="E15" s="1" t="s">
        <v>43</v>
      </c>
      <c r="F15" s="6">
        <v>20535.75</v>
      </c>
      <c r="G15" s="6">
        <v>0</v>
      </c>
      <c r="H15" s="6">
        <v>0</v>
      </c>
      <c r="I15" s="7">
        <v>20535.75</v>
      </c>
      <c r="J15" s="7">
        <v>20535.75</v>
      </c>
      <c r="K15" s="7">
        <v>0</v>
      </c>
      <c r="L15" s="7">
        <v>0</v>
      </c>
      <c r="M15" s="7">
        <v>2464.29</v>
      </c>
      <c r="N15" s="7">
        <f>I15+M15</f>
        <v>23000.04</v>
      </c>
    </row>
    <row r="16" spans="1:14" x14ac:dyDescent="0.25">
      <c r="A16" s="9">
        <v>45596</v>
      </c>
      <c r="B16" s="1" t="s">
        <v>38</v>
      </c>
      <c r="C16" s="1" t="s">
        <v>41</v>
      </c>
      <c r="D16" s="1" t="s">
        <v>37</v>
      </c>
      <c r="E16" s="1" t="s">
        <v>43</v>
      </c>
      <c r="F16" s="6">
        <v>446.42</v>
      </c>
      <c r="G16" s="6">
        <v>0</v>
      </c>
      <c r="H16" s="6">
        <v>0</v>
      </c>
      <c r="I16" s="7">
        <v>446.42</v>
      </c>
      <c r="J16" s="7">
        <v>0</v>
      </c>
      <c r="K16" s="7">
        <v>0</v>
      </c>
      <c r="L16" s="10">
        <v>446.41666666666669</v>
      </c>
      <c r="M16" s="7">
        <v>53.57</v>
      </c>
      <c r="N16" s="7">
        <v>500</v>
      </c>
    </row>
    <row r="17" spans="1:14" x14ac:dyDescent="0.25">
      <c r="A17" s="9">
        <v>45596</v>
      </c>
      <c r="B17" s="1" t="s">
        <v>36</v>
      </c>
      <c r="C17" s="1" t="s">
        <v>47</v>
      </c>
      <c r="D17" s="1" t="s">
        <v>37</v>
      </c>
      <c r="E17" s="1" t="s">
        <v>43</v>
      </c>
      <c r="F17" s="6">
        <v>1050.5</v>
      </c>
      <c r="G17" s="6">
        <v>0</v>
      </c>
      <c r="H17" s="6">
        <v>0</v>
      </c>
      <c r="I17" s="7">
        <v>1050.5</v>
      </c>
      <c r="J17" s="7">
        <v>1050.5</v>
      </c>
      <c r="K17" s="7">
        <v>0</v>
      </c>
      <c r="L17" s="7">
        <v>0</v>
      </c>
      <c r="M17" s="7">
        <v>126.06</v>
      </c>
      <c r="N17" s="7">
        <f t="shared" ref="N17" si="0">I17+M17</f>
        <v>1176.56</v>
      </c>
    </row>
    <row r="18" spans="1:14" x14ac:dyDescent="0.25">
      <c r="A18" s="9">
        <v>45596</v>
      </c>
      <c r="B18" s="1" t="s">
        <v>45</v>
      </c>
      <c r="C18" s="1" t="s">
        <v>46</v>
      </c>
      <c r="E18" s="1" t="s">
        <v>43</v>
      </c>
      <c r="F18" s="6">
        <v>3421180</v>
      </c>
      <c r="G18" s="6">
        <v>3421180</v>
      </c>
      <c r="H18" s="6">
        <v>0</v>
      </c>
      <c r="I18" s="6">
        <v>0</v>
      </c>
      <c r="J18" s="7">
        <v>0</v>
      </c>
      <c r="K18" s="7">
        <v>0</v>
      </c>
      <c r="L18" s="7">
        <v>0</v>
      </c>
      <c r="M18" s="7">
        <v>0</v>
      </c>
      <c r="N18" s="7">
        <v>3421180</v>
      </c>
    </row>
    <row r="19" spans="1:14" x14ac:dyDescent="0.25">
      <c r="A19" s="9" t="s">
        <v>48</v>
      </c>
      <c r="B19" s="1" t="s">
        <v>38</v>
      </c>
      <c r="C19" s="1" t="s">
        <v>41</v>
      </c>
      <c r="E19" s="1" t="s">
        <v>49</v>
      </c>
      <c r="F19" s="6">
        <v>446.42</v>
      </c>
      <c r="G19" s="6">
        <v>0</v>
      </c>
      <c r="H19" s="6">
        <v>0</v>
      </c>
      <c r="I19" s="7">
        <v>446.42</v>
      </c>
      <c r="J19" s="7">
        <v>0</v>
      </c>
      <c r="K19" s="7">
        <v>0</v>
      </c>
      <c r="L19" s="7">
        <v>446.41666666666669</v>
      </c>
      <c r="M19" s="7">
        <v>53.57</v>
      </c>
      <c r="N19" s="7">
        <v>500</v>
      </c>
    </row>
    <row r="20" spans="1:14" x14ac:dyDescent="0.25">
      <c r="A20" s="9">
        <v>45657</v>
      </c>
      <c r="B20" s="1" t="s">
        <v>42</v>
      </c>
      <c r="C20" s="1" t="s">
        <v>50</v>
      </c>
      <c r="E20" s="1" t="s">
        <v>43</v>
      </c>
      <c r="F20" s="6">
        <v>82</v>
      </c>
      <c r="G20" s="6">
        <v>0</v>
      </c>
      <c r="H20" s="6">
        <v>0</v>
      </c>
      <c r="I20" s="7">
        <v>91.84</v>
      </c>
      <c r="J20" s="7">
        <v>0</v>
      </c>
      <c r="K20" s="7">
        <v>0</v>
      </c>
      <c r="L20" s="7">
        <v>82</v>
      </c>
      <c r="M20" s="7">
        <v>9.84</v>
      </c>
      <c r="N20" s="7">
        <f t="shared" ref="N20:N21" si="1">I20+M20</f>
        <v>101.68</v>
      </c>
    </row>
    <row r="21" spans="1:14" x14ac:dyDescent="0.25">
      <c r="A21" s="9">
        <v>45657</v>
      </c>
      <c r="B21" s="1" t="s">
        <v>35</v>
      </c>
      <c r="D21" s="1" t="s">
        <v>44</v>
      </c>
      <c r="E21" s="1" t="s">
        <v>43</v>
      </c>
      <c r="F21" s="7">
        <v>20535.75</v>
      </c>
      <c r="G21" s="6">
        <v>0</v>
      </c>
      <c r="H21" s="6">
        <v>0</v>
      </c>
      <c r="I21" s="7">
        <v>20535.75</v>
      </c>
      <c r="J21" s="7">
        <v>20535.75</v>
      </c>
      <c r="K21" s="7">
        <v>0</v>
      </c>
      <c r="L21" s="7">
        <v>0</v>
      </c>
      <c r="M21" s="7">
        <v>2760</v>
      </c>
      <c r="N21" s="7">
        <f t="shared" si="1"/>
        <v>23295.75</v>
      </c>
    </row>
    <row r="22" spans="1:14" x14ac:dyDescent="0.25">
      <c r="A22" s="9">
        <v>45657</v>
      </c>
      <c r="B22" s="1" t="s">
        <v>45</v>
      </c>
      <c r="C22" s="1" t="s">
        <v>46</v>
      </c>
      <c r="E22" s="1" t="s">
        <v>43</v>
      </c>
      <c r="F22" s="6">
        <v>10875380.75</v>
      </c>
      <c r="G22" s="6">
        <v>10875380.75</v>
      </c>
      <c r="H22" s="6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10875380.75</v>
      </c>
    </row>
    <row r="25" spans="1:14" x14ac:dyDescent="0.25">
      <c r="A25" s="1" t="s">
        <v>39</v>
      </c>
      <c r="F25" s="8">
        <f t="shared" ref="F25:N25" si="2">SUM(F15:F23)</f>
        <v>14339657.59</v>
      </c>
      <c r="G25" s="8">
        <f t="shared" si="2"/>
        <v>14296560.75</v>
      </c>
      <c r="H25" s="8">
        <f t="shared" si="2"/>
        <v>0</v>
      </c>
      <c r="I25" s="8">
        <f t="shared" si="2"/>
        <v>43106.679999999993</v>
      </c>
      <c r="J25" s="8">
        <f t="shared" si="2"/>
        <v>42122</v>
      </c>
      <c r="K25" s="8">
        <f t="shared" si="2"/>
        <v>0</v>
      </c>
      <c r="L25" s="8">
        <f t="shared" si="2"/>
        <v>974.83333333333337</v>
      </c>
      <c r="M25" s="8">
        <f t="shared" si="2"/>
        <v>5467.33</v>
      </c>
      <c r="N25" s="8">
        <f t="shared" si="2"/>
        <v>14345134.780000001</v>
      </c>
    </row>
    <row r="27" spans="1:14" x14ac:dyDescent="0.25">
      <c r="A27" s="1" t="s">
        <v>40</v>
      </c>
      <c r="F27" s="12"/>
      <c r="G27" s="12"/>
      <c r="H27" s="12"/>
      <c r="I27" s="11"/>
      <c r="J27" s="11"/>
      <c r="K27" s="11"/>
      <c r="L27" s="11"/>
      <c r="M27" s="11"/>
    </row>
    <row r="28" spans="1:14" x14ac:dyDescent="0.25">
      <c r="F28" s="12"/>
      <c r="G28" s="12"/>
      <c r="H28" s="12"/>
      <c r="I28" s="11"/>
      <c r="J28" s="11"/>
      <c r="K28" s="11"/>
      <c r="L28" s="11"/>
      <c r="M28" s="11"/>
    </row>
    <row r="29" spans="1:14" x14ac:dyDescent="0.25">
      <c r="F29" s="12"/>
      <c r="G29" s="12"/>
      <c r="H29" s="12"/>
      <c r="I29" s="11"/>
      <c r="J29" s="11"/>
      <c r="K29" s="11"/>
      <c r="L29" s="11"/>
      <c r="M29" s="11"/>
    </row>
    <row r="30" spans="1:14" x14ac:dyDescent="0.25">
      <c r="F30" s="12"/>
      <c r="G30" s="12"/>
      <c r="H30" s="12"/>
      <c r="I30" s="11"/>
      <c r="J30" s="11"/>
      <c r="K30" s="11"/>
      <c r="L30" s="11"/>
      <c r="M30" s="11"/>
    </row>
  </sheetData>
  <pageMargins left="0.25" right="0" top="0.75" bottom="0.25" header="0.3" footer="0"/>
  <pageSetup paperSize="9" scale="4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L.Marino</dc:creator>
  <cp:lastModifiedBy>R.Precious</cp:lastModifiedBy>
  <cp:lastPrinted>2025-11-22T11:02:27Z</cp:lastPrinted>
  <dcterms:created xsi:type="dcterms:W3CDTF">2025-11-20T09:44:12Z</dcterms:created>
  <dcterms:modified xsi:type="dcterms:W3CDTF">2026-02-24T05:53:11Z</dcterms:modified>
</cp:coreProperties>
</file>